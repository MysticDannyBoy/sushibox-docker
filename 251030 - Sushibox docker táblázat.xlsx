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D:\Gits\sushibox-docker\"/>
    </mc:Choice>
  </mc:AlternateContent>
  <xr:revisionPtr revIDLastSave="0" documentId="13_ncr:1_{4B3968F3-83A4-4B5F-A147-30CDF510CFB4}" xr6:coauthVersionLast="47" xr6:coauthVersionMax="47" xr10:uidLastSave="{00000000-0000-0000-0000-000000000000}"/>
  <bookViews>
    <workbookView xWindow="-120" yWindow="-120" windowWidth="29040" windowHeight="15840" xr2:uid="{DA977C6D-A5E8-4F8E-BD8A-BA6C464F2D4B}"/>
  </bookViews>
  <sheets>
    <sheet name="251030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" i="1" l="1"/>
  <c r="G3" i="1"/>
  <c r="G4" i="1"/>
  <c r="G5" i="1"/>
  <c r="G6" i="1"/>
  <c r="G7" i="1"/>
  <c r="G8" i="1"/>
  <c r="G9" i="1"/>
  <c r="G10" i="1"/>
  <c r="G11" i="1"/>
</calcChain>
</file>

<file path=xl/sharedStrings.xml><?xml version="1.0" encoding="utf-8"?>
<sst xmlns="http://schemas.openxmlformats.org/spreadsheetml/2006/main" count="99" uniqueCount="50">
  <si>
    <t>Container név</t>
  </si>
  <si>
    <t>Image</t>
  </si>
  <si>
    <t>Kellőség</t>
  </si>
  <si>
    <t>Besorolás</t>
  </si>
  <si>
    <t>nginx-proxy-manager</t>
  </si>
  <si>
    <t>portainer</t>
  </si>
  <si>
    <t>nginx</t>
  </si>
  <si>
    <t>nextcloud</t>
  </si>
  <si>
    <t>gitea</t>
  </si>
  <si>
    <t>vaultwarden</t>
  </si>
  <si>
    <t>file browser</t>
  </si>
  <si>
    <t>jellyfin</t>
  </si>
  <si>
    <t>qbittorrent</t>
  </si>
  <si>
    <t>privatebin</t>
  </si>
  <si>
    <t>app container</t>
  </si>
  <si>
    <t>maintanence container</t>
  </si>
  <si>
    <t>ng_container</t>
  </si>
  <si>
    <t>qb_container</t>
  </si>
  <si>
    <t>pt_container</t>
  </si>
  <si>
    <t>np_container</t>
  </si>
  <si>
    <t>nc_container</t>
  </si>
  <si>
    <t>gt_container</t>
  </si>
  <si>
    <t>vw_container</t>
  </si>
  <si>
    <t>fb_container</t>
  </si>
  <si>
    <t>jf_container</t>
  </si>
  <si>
    <t>pb_container</t>
  </si>
  <si>
    <t>must</t>
  </si>
  <si>
    <t>nice</t>
  </si>
  <si>
    <t>Base</t>
  </si>
  <si>
    <t>Könyvtár</t>
  </si>
  <si>
    <t>URI</t>
  </si>
  <si>
    <t>/home/xoyowiz/MyBlackBox/Docker</t>
  </si>
  <si>
    <t>Nginx-Proxy-Manager</t>
  </si>
  <si>
    <t>Nginx</t>
  </si>
  <si>
    <t>Portainer</t>
  </si>
  <si>
    <t>Gitea</t>
  </si>
  <si>
    <t>Nextcloud</t>
  </si>
  <si>
    <t>Vaultwarden</t>
  </si>
  <si>
    <t>Jellyfin</t>
  </si>
  <si>
    <t>PrivateBin</t>
  </si>
  <si>
    <t>FileBrowser</t>
  </si>
  <si>
    <t>qBittorrent</t>
  </si>
  <si>
    <t>Host port</t>
  </si>
  <si>
    <t>Container port</t>
  </si>
  <si>
    <t>Magyarázat</t>
  </si>
  <si>
    <t>http traffic</t>
  </si>
  <si>
    <t>admin web port</t>
  </si>
  <si>
    <t>wt_container</t>
  </si>
  <si>
    <t>watchtower</t>
  </si>
  <si>
    <t>---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</si>
</sst>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charset val="238"/>
      <scheme val="minor"/>
    </font>
    <font>
      <b/>
      <sz val="11"/>
      <color theme="0"/>
      <name val="Aptos Narrow"/>
      <family val="2"/>
      <charset val="238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1" xfId="0" applyFont="1" applyFill="1" applyBorder="1"/>
    <xf numFmtId="0" fontId="1" fillId="2" borderId="0" xfId="0" applyFont="1" applyFill="1"/>
    <xf numFmtId="0" fontId="0" fillId="3" borderId="0" xfId="0" applyFill="1"/>
    <xf numFmtId="0" fontId="0" fillId="3" borderId="0" xfId="0" quotePrefix="1" applyFill="1"/>
  </cellXfs>
  <cellStyles count="1">
    <cellStyle name="Normál" xfId="0" builtinId="0"/>
  </cellStyles>
  <dxfs count="3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charset val="238"/>
        <scheme val="minor"/>
      </font>
      <fill>
        <patternFill patternType="solid">
          <fgColor theme="4"/>
          <bgColor theme="4"/>
        </patternFill>
      </fill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B64652B-0C45-4260-8C8F-9B906B8FC48B}" name="Táblázat1" displayName="Táblázat1" ref="A1:G12" totalsRowShown="0">
  <autoFilter ref="A1:G12" xr:uid="{2B64652B-0C45-4260-8C8F-9B906B8FC48B}"/>
  <tableColumns count="7">
    <tableColumn id="1" xr3:uid="{19FAD340-011B-4737-A60A-68530737B41A}" name="Besorolás"/>
    <tableColumn id="2" xr3:uid="{8C7BAED3-7421-42E9-9F33-41E04D4EFE6C}" name="Container név"/>
    <tableColumn id="3" xr3:uid="{4B6E043E-620A-4B9B-9DF9-23EB573E8DFA}" name="Image"/>
    <tableColumn id="5" xr3:uid="{5817E220-4E4E-4021-A887-09B45A246EAE}" name="Kellőség"/>
    <tableColumn id="6" xr3:uid="{B595718B-1E56-4884-BD51-0E8FF2B27499}" name="Base"/>
    <tableColumn id="7" xr3:uid="{58A88DD4-D029-4F6D-8943-F229FAB1E300}" name="Könyvtár" dataDxfId="2"/>
    <tableColumn id="8" xr3:uid="{C734893A-3907-4057-92E2-F3DE010BC588}" name="URI" dataDxfId="1">
      <calculatedColumnFormula>_xlfn.CONCAT(Táblázat1[[#This Row],[Base]],"/",Táblázat1[[#This Row],[Könyvtár]])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6BFC767-1DD8-4C58-A564-3CFA557B58B6}" name="Táblázat3" displayName="Táblázat3" ref="I1:L27" totalsRowShown="0" headerRowDxfId="0">
  <autoFilter ref="I1:L27" xr:uid="{16BFC767-1DD8-4C58-A564-3CFA557B58B6}"/>
  <sortState xmlns:xlrd2="http://schemas.microsoft.com/office/spreadsheetml/2017/richdata2" ref="I2:L13">
    <sortCondition ref="I1:I27"/>
  </sortState>
  <tableColumns count="4">
    <tableColumn id="1" xr3:uid="{A3A93449-C880-4CFE-AC31-3A9366DF4F91}" name="Container név"/>
    <tableColumn id="2" xr3:uid="{5652C98A-DC7D-435A-80BF-CFDCD43C7DDA}" name="Host port"/>
    <tableColumn id="3" xr3:uid="{930327C8-2A0C-49D8-B5EC-57170DDDD94A}" name="Container port"/>
    <tableColumn id="4" xr3:uid="{93F611B3-FA84-483C-8531-D791E98CB60D}" name="Magyaráza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-té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53782C-7216-4DD4-B7B9-A18DD6D8ADBA}">
  <dimension ref="A1:L15"/>
  <sheetViews>
    <sheetView tabSelected="1" workbookViewId="0">
      <selection activeCell="A4" sqref="A4"/>
    </sheetView>
  </sheetViews>
  <sheetFormatPr defaultRowHeight="15" x14ac:dyDescent="0.25"/>
  <cols>
    <col min="1" max="1" width="21.85546875" bestFit="1" customWidth="1"/>
    <col min="2" max="2" width="16.140625" bestFit="1" customWidth="1"/>
    <col min="3" max="3" width="20" bestFit="1" customWidth="1"/>
    <col min="4" max="4" width="11" bestFit="1" customWidth="1"/>
    <col min="5" max="5" width="33" bestFit="1" customWidth="1"/>
    <col min="6" max="6" width="20.140625" bestFit="1" customWidth="1"/>
    <col min="7" max="7" width="53.28515625" bestFit="1" customWidth="1"/>
    <col min="9" max="9" width="16.140625" bestFit="1" customWidth="1"/>
    <col min="10" max="10" width="11.7109375" bestFit="1" customWidth="1"/>
    <col min="11" max="11" width="16.5703125" bestFit="1" customWidth="1"/>
    <col min="12" max="12" width="14.85546875" bestFit="1" customWidth="1"/>
  </cols>
  <sheetData>
    <row r="1" spans="1:12" x14ac:dyDescent="0.25">
      <c r="A1" t="s">
        <v>3</v>
      </c>
      <c r="B1" t="s">
        <v>0</v>
      </c>
      <c r="C1" t="s">
        <v>1</v>
      </c>
      <c r="D1" t="s">
        <v>2</v>
      </c>
      <c r="E1" t="s">
        <v>28</v>
      </c>
      <c r="F1" t="s">
        <v>29</v>
      </c>
      <c r="G1" t="s">
        <v>30</v>
      </c>
      <c r="I1" s="1" t="s">
        <v>0</v>
      </c>
      <c r="J1" s="1" t="s">
        <v>42</v>
      </c>
      <c r="K1" s="1" t="s">
        <v>43</v>
      </c>
      <c r="L1" s="2" t="s">
        <v>44</v>
      </c>
    </row>
    <row r="2" spans="1:12" x14ac:dyDescent="0.25">
      <c r="A2" s="3" t="s">
        <v>15</v>
      </c>
      <c r="B2" s="3" t="s">
        <v>19</v>
      </c>
      <c r="C2" s="3" t="s">
        <v>4</v>
      </c>
      <c r="D2" s="3" t="s">
        <v>26</v>
      </c>
      <c r="E2" s="3" t="s">
        <v>31</v>
      </c>
      <c r="F2" s="3" t="s">
        <v>32</v>
      </c>
      <c r="G2" s="3" t="str">
        <f>_xlfn.CONCAT(Táblázat1[[#This Row],[Base]],"/",Táblázat1[[#This Row],[Könyvtár]])</f>
        <v>/home/xoyowiz/MyBlackBox/Docker/Nginx-Proxy-Manager</v>
      </c>
      <c r="I2" t="s">
        <v>23</v>
      </c>
      <c r="J2">
        <v>9170</v>
      </c>
    </row>
    <row r="3" spans="1:12" x14ac:dyDescent="0.25">
      <c r="A3" s="3" t="s">
        <v>14</v>
      </c>
      <c r="B3" s="3" t="s">
        <v>16</v>
      </c>
      <c r="C3" s="3" t="s">
        <v>6</v>
      </c>
      <c r="D3" s="3" t="s">
        <v>26</v>
      </c>
      <c r="E3" s="3" t="s">
        <v>31</v>
      </c>
      <c r="F3" s="3" t="s">
        <v>33</v>
      </c>
      <c r="G3" s="3" t="str">
        <f>_xlfn.CONCAT(Táblázat1[[#This Row],[Base]],"/",Táblázat1[[#This Row],[Könyvtár]])</f>
        <v>/home/xoyowiz/MyBlackBox/Docker/Nginx</v>
      </c>
      <c r="I3" t="s">
        <v>21</v>
      </c>
      <c r="J3">
        <v>9120</v>
      </c>
    </row>
    <row r="4" spans="1:12" x14ac:dyDescent="0.25">
      <c r="A4" s="3" t="s">
        <v>15</v>
      </c>
      <c r="B4" s="3" t="s">
        <v>18</v>
      </c>
      <c r="C4" s="3" t="s">
        <v>5</v>
      </c>
      <c r="D4" s="3" t="s">
        <v>26</v>
      </c>
      <c r="E4" s="3" t="s">
        <v>31</v>
      </c>
      <c r="F4" s="3" t="s">
        <v>34</v>
      </c>
      <c r="G4" s="3" t="str">
        <f>_xlfn.CONCAT(Táblázat1[[#This Row],[Base]],"/",Táblázat1[[#This Row],[Könyvtár]])</f>
        <v>/home/xoyowiz/MyBlackBox/Docker/Portainer</v>
      </c>
      <c r="I4" t="s">
        <v>24</v>
      </c>
      <c r="J4">
        <v>9150</v>
      </c>
    </row>
    <row r="5" spans="1:12" x14ac:dyDescent="0.25">
      <c r="A5" t="s">
        <v>14</v>
      </c>
      <c r="B5" t="s">
        <v>21</v>
      </c>
      <c r="C5" t="s">
        <v>8</v>
      </c>
      <c r="D5" t="s">
        <v>26</v>
      </c>
      <c r="E5" t="s">
        <v>31</v>
      </c>
      <c r="F5" t="s">
        <v>35</v>
      </c>
      <c r="G5" t="str">
        <f>_xlfn.CONCAT(Táblázat1[[#This Row],[Base]],"/",Táblázat1[[#This Row],[Könyvtár]])</f>
        <v>/home/xoyowiz/MyBlackBox/Docker/Gitea</v>
      </c>
      <c r="I5" t="s">
        <v>20</v>
      </c>
      <c r="J5">
        <v>9130</v>
      </c>
    </row>
    <row r="6" spans="1:12" x14ac:dyDescent="0.25">
      <c r="A6" t="s">
        <v>14</v>
      </c>
      <c r="B6" t="s">
        <v>20</v>
      </c>
      <c r="C6" t="s">
        <v>7</v>
      </c>
      <c r="D6" t="s">
        <v>26</v>
      </c>
      <c r="E6" t="s">
        <v>31</v>
      </c>
      <c r="F6" t="s">
        <v>36</v>
      </c>
      <c r="G6" t="str">
        <f>_xlfn.CONCAT(Táblázat1[[#This Row],[Base]],"/",Táblázat1[[#This Row],[Könyvtár]])</f>
        <v>/home/xoyowiz/MyBlackBox/Docker/Nextcloud</v>
      </c>
      <c r="I6" s="3" t="s">
        <v>16</v>
      </c>
      <c r="J6" s="3">
        <v>9100</v>
      </c>
      <c r="K6" s="3">
        <v>80</v>
      </c>
      <c r="L6" s="3" t="s">
        <v>45</v>
      </c>
    </row>
    <row r="7" spans="1:12" x14ac:dyDescent="0.25">
      <c r="A7" t="s">
        <v>14</v>
      </c>
      <c r="B7" t="s">
        <v>22</v>
      </c>
      <c r="C7" t="s">
        <v>9</v>
      </c>
      <c r="D7" t="s">
        <v>26</v>
      </c>
      <c r="E7" t="s">
        <v>31</v>
      </c>
      <c r="F7" t="s">
        <v>37</v>
      </c>
      <c r="G7" t="str">
        <f>_xlfn.CONCAT(Táblázat1[[#This Row],[Base]],"/",Táblázat1[[#This Row],[Könyvtár]])</f>
        <v>/home/xoyowiz/MyBlackBox/Docker/Vaultwarden</v>
      </c>
      <c r="I7" s="3" t="s">
        <v>16</v>
      </c>
      <c r="J7" s="3">
        <v>9101</v>
      </c>
      <c r="K7" s="3">
        <v>443</v>
      </c>
      <c r="L7" s="3" t="s">
        <v>45</v>
      </c>
    </row>
    <row r="8" spans="1:12" x14ac:dyDescent="0.25">
      <c r="A8" t="s">
        <v>14</v>
      </c>
      <c r="B8" t="s">
        <v>24</v>
      </c>
      <c r="C8" t="s">
        <v>11</v>
      </c>
      <c r="D8" t="s">
        <v>27</v>
      </c>
      <c r="E8" t="s">
        <v>31</v>
      </c>
      <c r="F8" t="s">
        <v>38</v>
      </c>
      <c r="G8" t="str">
        <f>_xlfn.CONCAT(Táblázat1[[#This Row],[Base]],"/",Táblázat1[[#This Row],[Könyvtár]])</f>
        <v>/home/xoyowiz/MyBlackBox/Docker/Jellyfin</v>
      </c>
      <c r="I8" s="3" t="s">
        <v>18</v>
      </c>
      <c r="J8" s="3">
        <v>9000</v>
      </c>
      <c r="K8" s="3">
        <v>8000</v>
      </c>
      <c r="L8" s="3" t="s">
        <v>45</v>
      </c>
    </row>
    <row r="9" spans="1:12" x14ac:dyDescent="0.25">
      <c r="A9" t="s">
        <v>14</v>
      </c>
      <c r="B9" t="s">
        <v>23</v>
      </c>
      <c r="C9" t="s">
        <v>10</v>
      </c>
      <c r="D9" t="s">
        <v>27</v>
      </c>
      <c r="E9" t="s">
        <v>31</v>
      </c>
      <c r="F9" t="s">
        <v>40</v>
      </c>
      <c r="G9" t="str">
        <f>_xlfn.CONCAT(Táblázat1[[#This Row],[Base]],"/",Táblázat1[[#This Row],[Könyvtár]])</f>
        <v>/home/xoyowiz/MyBlackBox/Docker/FileBrowser</v>
      </c>
      <c r="I9" s="3" t="s">
        <v>18</v>
      </c>
      <c r="J9" s="3">
        <v>9001</v>
      </c>
      <c r="K9" s="3">
        <v>9443</v>
      </c>
      <c r="L9" s="3" t="s">
        <v>45</v>
      </c>
    </row>
    <row r="10" spans="1:12" x14ac:dyDescent="0.25">
      <c r="A10" s="3" t="s">
        <v>14</v>
      </c>
      <c r="B10" s="3" t="s">
        <v>25</v>
      </c>
      <c r="C10" s="3" t="s">
        <v>13</v>
      </c>
      <c r="D10" s="3" t="s">
        <v>27</v>
      </c>
      <c r="E10" s="3" t="s">
        <v>31</v>
      </c>
      <c r="F10" s="3" t="s">
        <v>39</v>
      </c>
      <c r="G10" s="3" t="str">
        <f>_xlfn.CONCAT(Táblázat1[[#This Row],[Base]],"/",Táblázat1[[#This Row],[Könyvtár]])</f>
        <v>/home/xoyowiz/MyBlackBox/Docker/PrivateBin</v>
      </c>
      <c r="I10" t="s">
        <v>25</v>
      </c>
      <c r="J10">
        <v>9180</v>
      </c>
    </row>
    <row r="11" spans="1:12" x14ac:dyDescent="0.25">
      <c r="A11" t="s">
        <v>14</v>
      </c>
      <c r="B11" t="s">
        <v>17</v>
      </c>
      <c r="C11" t="s">
        <v>12</v>
      </c>
      <c r="D11" t="s">
        <v>27</v>
      </c>
      <c r="E11" t="s">
        <v>31</v>
      </c>
      <c r="F11" t="s">
        <v>41</v>
      </c>
      <c r="G11" t="str">
        <f>_xlfn.CONCAT(Táblázat1[[#This Row],[Base]],"/",Táblázat1[[#This Row],[Könyvtár]])</f>
        <v>/home/xoyowiz/MyBlackBox/Docker/qBittorrent</v>
      </c>
      <c r="I11" s="3" t="s">
        <v>19</v>
      </c>
      <c r="J11" s="3">
        <v>9110</v>
      </c>
      <c r="K11" s="3">
        <v>80</v>
      </c>
      <c r="L11" s="3" t="s">
        <v>45</v>
      </c>
    </row>
    <row r="12" spans="1:12" x14ac:dyDescent="0.25">
      <c r="A12" s="3" t="s">
        <v>15</v>
      </c>
      <c r="B12" s="3" t="s">
        <v>47</v>
      </c>
      <c r="C12" s="3" t="s">
        <v>48</v>
      </c>
      <c r="D12" s="3" t="s">
        <v>27</v>
      </c>
      <c r="E12" s="4" t="s">
        <v>49</v>
      </c>
      <c r="F12" s="4" t="s">
        <v>49</v>
      </c>
      <c r="G12" s="4" t="s">
        <v>49</v>
      </c>
      <c r="I12" t="s">
        <v>17</v>
      </c>
      <c r="J12">
        <v>9190</v>
      </c>
    </row>
    <row r="13" spans="1:12" x14ac:dyDescent="0.25">
      <c r="I13" t="s">
        <v>22</v>
      </c>
      <c r="J13">
        <v>9140</v>
      </c>
    </row>
    <row r="14" spans="1:12" x14ac:dyDescent="0.25">
      <c r="I14" s="3" t="s">
        <v>19</v>
      </c>
      <c r="J14" s="3">
        <v>9111</v>
      </c>
      <c r="K14" s="3">
        <v>443</v>
      </c>
      <c r="L14" s="3" t="s">
        <v>45</v>
      </c>
    </row>
    <row r="15" spans="1:12" x14ac:dyDescent="0.25">
      <c r="I15" s="3" t="s">
        <v>19</v>
      </c>
      <c r="J15" s="3">
        <v>9112</v>
      </c>
      <c r="K15" s="3">
        <v>81</v>
      </c>
      <c r="L15" s="3" t="s">
        <v>46</v>
      </c>
    </row>
  </sheetData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Munkalapok</vt:lpstr>
      </vt:variant>
      <vt:variant>
        <vt:i4>1</vt:i4>
      </vt:variant>
    </vt:vector>
  </HeadingPairs>
  <TitlesOfParts>
    <vt:vector size="1" baseType="lpstr">
      <vt:lpstr>251030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DannyBoy</dc:creator>
  <cp:lastModifiedBy>DannyBoy</cp:lastModifiedBy>
  <dcterms:created xsi:type="dcterms:W3CDTF">2025-10-30T10:57:09Z</dcterms:created>
  <dcterms:modified xsi:type="dcterms:W3CDTF">2025-11-03T11:00:02Z</dcterms:modified>
</cp:coreProperties>
</file>