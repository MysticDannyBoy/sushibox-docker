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s\sushibox-docker\"/>
    </mc:Choice>
  </mc:AlternateContent>
  <xr:revisionPtr revIDLastSave="0" documentId="13_ncr:1_{A2A71DE9-7E15-449B-8C2E-2F0D7895A7D3}" xr6:coauthVersionLast="47" xr6:coauthVersionMax="47" xr10:uidLastSave="{00000000-0000-0000-0000-000000000000}"/>
  <bookViews>
    <workbookView xWindow="-120" yWindow="-120" windowWidth="29040" windowHeight="15840" xr2:uid="{DA977C6D-A5E8-4F8E-BD8A-BA6C464F2D4B}"/>
  </bookViews>
  <sheets>
    <sheet name="25103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" l="1"/>
  <c r="L14" i="1"/>
  <c r="L12" i="1"/>
  <c r="L10" i="1"/>
  <c r="L9" i="1"/>
  <c r="L7" i="1"/>
  <c r="L5" i="1"/>
  <c r="L6" i="1"/>
  <c r="L24" i="1"/>
  <c r="L23" i="1"/>
  <c r="L22" i="1"/>
  <c r="L21" i="1"/>
  <c r="D2" i="1"/>
  <c r="D3" i="1"/>
  <c r="L2" i="1" s="1"/>
  <c r="M2" i="1" s="1"/>
  <c r="D4" i="1"/>
  <c r="D5" i="1"/>
  <c r="D6" i="1"/>
  <c r="D7" i="1"/>
  <c r="D8" i="1"/>
  <c r="D9" i="1"/>
  <c r="D10" i="1"/>
  <c r="D11" i="1"/>
  <c r="D12" i="1"/>
  <c r="I2" i="1"/>
  <c r="I3" i="1"/>
  <c r="I4" i="1"/>
  <c r="I5" i="1"/>
  <c r="I6" i="1"/>
  <c r="I7" i="1"/>
  <c r="I8" i="1"/>
  <c r="I9" i="1"/>
  <c r="I10" i="1"/>
  <c r="I11" i="1"/>
  <c r="L3" i="1" l="1"/>
  <c r="M3" i="1" s="1"/>
  <c r="M22" i="1" l="1"/>
  <c r="N22" i="1" s="1"/>
  <c r="M14" i="1"/>
  <c r="N14" i="1" s="1"/>
  <c r="M7" i="1"/>
  <c r="N7" i="1" s="1"/>
  <c r="M9" i="1"/>
  <c r="N9" i="1" s="1"/>
  <c r="M5" i="1"/>
  <c r="N5" i="1" s="1"/>
  <c r="M23" i="1"/>
  <c r="N23" i="1" s="1"/>
  <c r="M15" i="1"/>
  <c r="N15" i="1" s="1"/>
  <c r="M21" i="1"/>
  <c r="N21" i="1" s="1"/>
  <c r="M24" i="1"/>
  <c r="N24" i="1" s="1"/>
  <c r="M10" i="1"/>
  <c r="N10" i="1" s="1"/>
  <c r="M12" i="1"/>
  <c r="N12" i="1" s="1"/>
  <c r="M6" i="1"/>
  <c r="N6" i="1" s="1"/>
  <c r="N2" i="1"/>
  <c r="N3" i="1"/>
</calcChain>
</file>

<file path=xl/sharedStrings.xml><?xml version="1.0" encoding="utf-8"?>
<sst xmlns="http://schemas.openxmlformats.org/spreadsheetml/2006/main" count="104" uniqueCount="55">
  <si>
    <t>Container név</t>
  </si>
  <si>
    <t>Image</t>
  </si>
  <si>
    <t>Kellőség</t>
  </si>
  <si>
    <t>Besorolás</t>
  </si>
  <si>
    <t>nginx-proxy-manager</t>
  </si>
  <si>
    <t>portainer</t>
  </si>
  <si>
    <t>nginx</t>
  </si>
  <si>
    <t>nextcloud</t>
  </si>
  <si>
    <t>gitea</t>
  </si>
  <si>
    <t>vaultwarden</t>
  </si>
  <si>
    <t>file browser</t>
  </si>
  <si>
    <t>jellyfin</t>
  </si>
  <si>
    <t>qbittorrent</t>
  </si>
  <si>
    <t>privatebin</t>
  </si>
  <si>
    <t>app container</t>
  </si>
  <si>
    <t>maintanence container</t>
  </si>
  <si>
    <t>ng_container</t>
  </si>
  <si>
    <t>qb_container</t>
  </si>
  <si>
    <t>pt_container</t>
  </si>
  <si>
    <t>np_container</t>
  </si>
  <si>
    <t>nc_container</t>
  </si>
  <si>
    <t>gt_container</t>
  </si>
  <si>
    <t>vw_container</t>
  </si>
  <si>
    <t>fb_container</t>
  </si>
  <si>
    <t>jf_container</t>
  </si>
  <si>
    <t>pb_container</t>
  </si>
  <si>
    <t>must</t>
  </si>
  <si>
    <t>nice</t>
  </si>
  <si>
    <t>Base</t>
  </si>
  <si>
    <t>Könyvtár</t>
  </si>
  <si>
    <t>URI</t>
  </si>
  <si>
    <t>/home/xoyowiz/MyBlackBox/Docker</t>
  </si>
  <si>
    <t>Nginx-Proxy-Manager</t>
  </si>
  <si>
    <t>Nginx</t>
  </si>
  <si>
    <t>Portainer</t>
  </si>
  <si>
    <t>Gitea</t>
  </si>
  <si>
    <t>Nextcloud</t>
  </si>
  <si>
    <t>Vaultwarden</t>
  </si>
  <si>
    <t>Jellyfin</t>
  </si>
  <si>
    <t>PrivateBin</t>
  </si>
  <si>
    <t>FileBrowser</t>
  </si>
  <si>
    <t>qBittorrent</t>
  </si>
  <si>
    <t>Host port</t>
  </si>
  <si>
    <t>Container port</t>
  </si>
  <si>
    <t>Magyarázat</t>
  </si>
  <si>
    <t>http traffic</t>
  </si>
  <si>
    <t>admin web port</t>
  </si>
  <si>
    <t>wt_container</t>
  </si>
  <si>
    <t>watchtower</t>
  </si>
  <si>
    <t>---</t>
  </si>
  <si>
    <t>Port Base</t>
  </si>
  <si>
    <t>Port key</t>
  </si>
  <si>
    <t>Host port base</t>
  </si>
  <si>
    <t>Unique-ifier</t>
  </si>
  <si>
    <t>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</si>
</sst>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0" fillId="0" borderId="0" xfId="0" quotePrefix="1"/>
    <xf numFmtId="164" fontId="0" fillId="0" borderId="0" xfId="1" applyNumberFormat="1" applyFont="1" applyFill="1"/>
    <xf numFmtId="164" fontId="0" fillId="0" borderId="0" xfId="1" applyNumberFormat="1" applyFont="1"/>
  </cellXfs>
  <cellStyles count="2">
    <cellStyle name="Ezres" xfId="1" builtinId="3"/>
    <cellStyle name="Normál" xfId="0" builtinId="0"/>
  </cellStyles>
  <dxfs count="14">
    <dxf>
      <numFmt numFmtId="164" formatCode="_-* #,##0_-;\-* #,##0_-;_-* &quot;-&quot;??_-;_-@_-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38"/>
        <scheme val="minor"/>
      </font>
      <fill>
        <patternFill patternType="solid">
          <fgColor theme="4"/>
          <bgColor theme="4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64652B-0C45-4260-8C8F-9B906B8FC48B}" name="Táblázat1" displayName="Táblázat1" ref="A1:I12" totalsRowShown="0" dataDxfId="13">
  <autoFilter ref="A1:I12" xr:uid="{2B64652B-0C45-4260-8C8F-9B906B8FC48B}"/>
  <tableColumns count="9">
    <tableColumn id="1" xr3:uid="{19FAD340-011B-4737-A60A-68530737B41A}" name="Besorolás" dataDxfId="12"/>
    <tableColumn id="2" xr3:uid="{8C7BAED3-7421-42E9-9F33-41E04D4EFE6C}" name="Container név" dataDxfId="11"/>
    <tableColumn id="9" xr3:uid="{5387A4CC-6D4A-4C43-9577-B389EF970A5A}" name="Port key" dataDxfId="10"/>
    <tableColumn id="4" xr3:uid="{BA9A9D88-ECBD-4810-B27E-42863D5B9EBC}" name="Port Base" dataDxfId="9" dataCellStyle="Ezres">
      <calculatedColumnFormula>Táblázat1[[#This Row],[Port key]]*1000</calculatedColumnFormula>
    </tableColumn>
    <tableColumn id="3" xr3:uid="{4B6E043E-620A-4B9B-9DF9-23EB573E8DFA}" name="Image" dataDxfId="8"/>
    <tableColumn id="5" xr3:uid="{5817E220-4E4E-4021-A887-09B45A246EAE}" name="Kellőség" dataDxfId="7"/>
    <tableColumn id="6" xr3:uid="{B595718B-1E56-4884-BD51-0E8FF2B27499}" name="Base" dataDxfId="6"/>
    <tableColumn id="7" xr3:uid="{58A88DD4-D029-4F6D-8943-F229FAB1E300}" name="Könyvtár" dataDxfId="5"/>
    <tableColumn id="8" xr3:uid="{C734893A-3907-4057-92E2-F3DE010BC588}" name="URI" dataDxfId="4">
      <calculatedColumnFormula>_xlfn.CONCAT(Táblázat1[[#This Row],[Base]],"/",Táblázat1[[#This Row],[Könyvtár]])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BFC767-1DD8-4C58-A564-3CFA557B58B6}" name="Táblázat3" displayName="Táblázat3" ref="K1:P27" totalsRowShown="0" headerRowDxfId="3">
  <autoFilter ref="K1:P27" xr:uid="{16BFC767-1DD8-4C58-A564-3CFA557B58B6}"/>
  <sortState xmlns:xlrd2="http://schemas.microsoft.com/office/spreadsheetml/2017/richdata2" ref="K2:P13">
    <sortCondition ref="K1:K27"/>
  </sortState>
  <tableColumns count="6">
    <tableColumn id="1" xr3:uid="{A3A93449-C880-4CFE-AC31-3A9366DF4F91}" name="Container név"/>
    <tableColumn id="2" xr3:uid="{5652C98A-DC7D-435A-80BF-CFDCD43C7DDA}" name="Host port base" dataDxfId="2">
      <calculatedColumnFormula>IFERROR(VLOOKUP(Táblázat3[[#This Row],[Container név]],Táblázat1[[Container név]:[Port Base]],3,FALSE),0)</calculatedColumnFormula>
    </tableColumn>
    <tableColumn id="5" xr3:uid="{0E078F2C-C3A8-485C-8882-60D73C6EBCBC}" name="Unique-ifier" dataDxfId="1">
      <calculatedColumnFormula>COUNTIF($L$2:Táblázat3[[#This Row],[Host port base]],Táblázat3[[#This Row],[Host port base]])</calculatedColumnFormula>
    </tableColumn>
    <tableColumn id="6" xr3:uid="{4025B1EF-7C7D-407C-85BA-EBC6E4460D38}" name="Host port" dataDxfId="0" dataCellStyle="Ezres">
      <calculatedColumnFormula>Táblázat3[[#This Row],[Host port base]]+Táblázat3[[#This Row],[Unique-ifier]]</calculatedColumnFormula>
    </tableColumn>
    <tableColumn id="3" xr3:uid="{930327C8-2A0C-49D8-B5EC-57170DDDD94A}" name="Container port"/>
    <tableColumn id="4" xr3:uid="{93F611B3-FA84-483C-8531-D791E98CB60D}" name="Magyaráz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3782C-7216-4DD4-B7B9-A18DD6D8ADBA}">
  <dimension ref="A1:P27"/>
  <sheetViews>
    <sheetView tabSelected="1" topLeftCell="B1" workbookViewId="0">
      <selection activeCell="P13" sqref="P13"/>
    </sheetView>
  </sheetViews>
  <sheetFormatPr defaultRowHeight="15" x14ac:dyDescent="0.25"/>
  <cols>
    <col min="1" max="1" width="21.85546875" bestFit="1" customWidth="1"/>
    <col min="2" max="2" width="16.140625" bestFit="1" customWidth="1"/>
    <col min="3" max="3" width="10.5703125" hidden="1" customWidth="1"/>
    <col min="4" max="4" width="11.7109375" bestFit="1" customWidth="1"/>
    <col min="5" max="5" width="20" bestFit="1" customWidth="1"/>
    <col min="6" max="6" width="11" bestFit="1" customWidth="1"/>
    <col min="7" max="7" width="33" bestFit="1" customWidth="1"/>
    <col min="8" max="8" width="20.140625" bestFit="1" customWidth="1"/>
    <col min="9" max="9" width="53.28515625" bestFit="1" customWidth="1"/>
    <col min="11" max="11" width="16.140625" bestFit="1" customWidth="1"/>
    <col min="12" max="12" width="16.5703125" hidden="1" customWidth="1"/>
    <col min="13" max="13" width="14.140625" hidden="1" customWidth="1"/>
    <col min="14" max="14" width="11.7109375" customWidth="1"/>
    <col min="15" max="15" width="16.5703125" bestFit="1" customWidth="1"/>
    <col min="16" max="16" width="14.85546875" bestFit="1" customWidth="1"/>
  </cols>
  <sheetData>
    <row r="1" spans="1:16" x14ac:dyDescent="0.25">
      <c r="A1" t="s">
        <v>3</v>
      </c>
      <c r="B1" t="s">
        <v>0</v>
      </c>
      <c r="C1" t="s">
        <v>51</v>
      </c>
      <c r="D1" t="s">
        <v>50</v>
      </c>
      <c r="E1" t="s">
        <v>1</v>
      </c>
      <c r="F1" t="s">
        <v>2</v>
      </c>
      <c r="G1" t="s">
        <v>28</v>
      </c>
      <c r="H1" t="s">
        <v>29</v>
      </c>
      <c r="I1" t="s">
        <v>30</v>
      </c>
      <c r="K1" s="1" t="s">
        <v>0</v>
      </c>
      <c r="L1" s="1" t="s">
        <v>52</v>
      </c>
      <c r="M1" s="1" t="s">
        <v>53</v>
      </c>
      <c r="N1" s="1" t="s">
        <v>42</v>
      </c>
      <c r="O1" s="1" t="s">
        <v>43</v>
      </c>
      <c r="P1" s="2" t="s">
        <v>44</v>
      </c>
    </row>
    <row r="2" spans="1:16" x14ac:dyDescent="0.25">
      <c r="A2" t="s">
        <v>15</v>
      </c>
      <c r="B2" t="s">
        <v>19</v>
      </c>
      <c r="C2">
        <v>20</v>
      </c>
      <c r="D2" s="4">
        <f>Táblázat1[[#This Row],[Port key]]*1000</f>
        <v>20000</v>
      </c>
      <c r="E2" t="s">
        <v>4</v>
      </c>
      <c r="F2" t="s">
        <v>26</v>
      </c>
      <c r="G2" t="s">
        <v>31</v>
      </c>
      <c r="H2" t="s">
        <v>32</v>
      </c>
      <c r="I2" t="str">
        <f>_xlfn.CONCAT(Táblázat1[[#This Row],[Base]],"/",Táblázat1[[#This Row],[Könyvtár]])</f>
        <v>/home/xoyowiz/MyBlackBox/Docker/Nginx-Proxy-Manager</v>
      </c>
      <c r="K2" t="s">
        <v>16</v>
      </c>
      <c r="L2">
        <f>IFERROR(VLOOKUP(Táblázat3[[#This Row],[Container név]],Táblázat1[[Container név]:[Port Base]],3,FALSE),0)</f>
        <v>30000</v>
      </c>
      <c r="M2">
        <f>COUNTIF($L$2:Táblázat3[[#This Row],[Host port base]],Táblázat3[[#This Row],[Host port base]])</f>
        <v>1</v>
      </c>
      <c r="N2" s="4">
        <f>Táblázat3[[#This Row],[Host port base]]+Táblázat3[[#This Row],[Unique-ifier]]</f>
        <v>30001</v>
      </c>
      <c r="O2">
        <v>80</v>
      </c>
      <c r="P2" t="s">
        <v>45</v>
      </c>
    </row>
    <row r="3" spans="1:16" x14ac:dyDescent="0.25">
      <c r="A3" t="s">
        <v>14</v>
      </c>
      <c r="B3" t="s">
        <v>16</v>
      </c>
      <c r="C3">
        <v>30</v>
      </c>
      <c r="D3" s="4">
        <f>Táblázat1[[#This Row],[Port key]]*1000</f>
        <v>30000</v>
      </c>
      <c r="E3" t="s">
        <v>6</v>
      </c>
      <c r="F3" t="s">
        <v>26</v>
      </c>
      <c r="G3" t="s">
        <v>31</v>
      </c>
      <c r="H3" t="s">
        <v>33</v>
      </c>
      <c r="I3" t="str">
        <f>_xlfn.CONCAT(Táblázat1[[#This Row],[Base]],"/",Táblázat1[[#This Row],[Könyvtár]])</f>
        <v>/home/xoyowiz/MyBlackBox/Docker/Nginx</v>
      </c>
      <c r="K3" t="s">
        <v>16</v>
      </c>
      <c r="L3">
        <f>IFERROR(VLOOKUP(Táblázat3[[#This Row],[Container név]],Táblázat1[[Container név]:[Port Base]],3,FALSE),0)</f>
        <v>30000</v>
      </c>
      <c r="M3">
        <f>COUNTIF($L$2:Táblázat3[[#This Row],[Host port base]],Táblázat3[[#This Row],[Host port base]])</f>
        <v>2</v>
      </c>
      <c r="N3" s="4">
        <f>Táblázat3[[#This Row],[Host port base]]+Táblázat3[[#This Row],[Unique-ifier]]</f>
        <v>30002</v>
      </c>
      <c r="O3">
        <v>443</v>
      </c>
      <c r="P3" t="s">
        <v>45</v>
      </c>
    </row>
    <row r="4" spans="1:16" x14ac:dyDescent="0.25">
      <c r="A4" t="s">
        <v>15</v>
      </c>
      <c r="B4" t="s">
        <v>18</v>
      </c>
      <c r="C4">
        <v>21</v>
      </c>
      <c r="D4" s="4">
        <f>Táblázat1[[#This Row],[Port key]]*1000</f>
        <v>21000</v>
      </c>
      <c r="E4" t="s">
        <v>5</v>
      </c>
      <c r="F4" t="s">
        <v>26</v>
      </c>
      <c r="G4" t="s">
        <v>31</v>
      </c>
      <c r="H4" t="s">
        <v>34</v>
      </c>
      <c r="I4" t="str">
        <f>_xlfn.CONCAT(Táblázat1[[#This Row],[Base]],"/",Táblázat1[[#This Row],[Könyvtár]])</f>
        <v>/home/xoyowiz/MyBlackBox/Docker/Portainer</v>
      </c>
      <c r="N4" s="5"/>
    </row>
    <row r="5" spans="1:16" x14ac:dyDescent="0.25">
      <c r="A5" t="s">
        <v>14</v>
      </c>
      <c r="B5" t="s">
        <v>21</v>
      </c>
      <c r="C5">
        <v>31</v>
      </c>
      <c r="D5" s="4">
        <f>Táblázat1[[#This Row],[Port key]]*1000</f>
        <v>31000</v>
      </c>
      <c r="E5" t="s">
        <v>8</v>
      </c>
      <c r="F5" t="s">
        <v>26</v>
      </c>
      <c r="G5" t="s">
        <v>31</v>
      </c>
      <c r="H5" t="s">
        <v>35</v>
      </c>
      <c r="I5" t="str">
        <f>_xlfn.CONCAT(Táblázat1[[#This Row],[Base]],"/",Táblázat1[[#This Row],[Könyvtár]])</f>
        <v>/home/xoyowiz/MyBlackBox/Docker/Gitea</v>
      </c>
      <c r="K5" t="s">
        <v>19</v>
      </c>
      <c r="L5">
        <f>IFERROR(VLOOKUP(Táblázat3[[#This Row],[Container név]],Táblázat1[[Container név]:[Port Base]],3,FALSE),0)</f>
        <v>20000</v>
      </c>
      <c r="M5">
        <f>COUNTIF($L$2:Táblázat3[[#This Row],[Host port base]],Táblázat3[[#This Row],[Host port base]])</f>
        <v>1</v>
      </c>
      <c r="N5" s="4">
        <f>Táblázat3[[#This Row],[Host port base]]+Táblázat3[[#This Row],[Unique-ifier]]</f>
        <v>20001</v>
      </c>
      <c r="O5">
        <v>80</v>
      </c>
      <c r="P5" t="s">
        <v>45</v>
      </c>
    </row>
    <row r="6" spans="1:16" x14ac:dyDescent="0.25">
      <c r="A6" t="s">
        <v>14</v>
      </c>
      <c r="B6" t="s">
        <v>20</v>
      </c>
      <c r="C6">
        <v>32</v>
      </c>
      <c r="D6" s="4">
        <f>Táblázat1[[#This Row],[Port key]]*1000</f>
        <v>32000</v>
      </c>
      <c r="E6" t="s">
        <v>7</v>
      </c>
      <c r="F6" t="s">
        <v>26</v>
      </c>
      <c r="G6" t="s">
        <v>31</v>
      </c>
      <c r="H6" t="s">
        <v>36</v>
      </c>
      <c r="I6" t="str">
        <f>_xlfn.CONCAT(Táblázat1[[#This Row],[Base]],"/",Táblázat1[[#This Row],[Könyvtár]])</f>
        <v>/home/xoyowiz/MyBlackBox/Docker/Nextcloud</v>
      </c>
      <c r="K6" t="s">
        <v>19</v>
      </c>
      <c r="L6">
        <f>IFERROR(VLOOKUP(Táblázat3[[#This Row],[Container név]],Táblázat1[[Container név]:[Port Base]],3,FALSE),0)</f>
        <v>20000</v>
      </c>
      <c r="M6">
        <f>COUNTIF($L$2:Táblázat3[[#This Row],[Host port base]],Táblázat3[[#This Row],[Host port base]])</f>
        <v>2</v>
      </c>
      <c r="N6" s="4">
        <f>Táblázat3[[#This Row],[Host port base]]+Táblázat3[[#This Row],[Unique-ifier]]</f>
        <v>20002</v>
      </c>
      <c r="O6">
        <v>81</v>
      </c>
      <c r="P6" t="s">
        <v>46</v>
      </c>
    </row>
    <row r="7" spans="1:16" x14ac:dyDescent="0.25">
      <c r="A7" t="s">
        <v>14</v>
      </c>
      <c r="B7" t="s">
        <v>22</v>
      </c>
      <c r="C7">
        <v>33</v>
      </c>
      <c r="D7" s="4">
        <f>Táblázat1[[#This Row],[Port key]]*1000</f>
        <v>33000</v>
      </c>
      <c r="E7" t="s">
        <v>9</v>
      </c>
      <c r="F7" t="s">
        <v>26</v>
      </c>
      <c r="G7" t="s">
        <v>31</v>
      </c>
      <c r="H7" t="s">
        <v>37</v>
      </c>
      <c r="I7" t="str">
        <f>_xlfn.CONCAT(Táblázat1[[#This Row],[Base]],"/",Táblázat1[[#This Row],[Könyvtár]])</f>
        <v>/home/xoyowiz/MyBlackBox/Docker/Vaultwarden</v>
      </c>
      <c r="K7" t="s">
        <v>19</v>
      </c>
      <c r="L7">
        <f>IFERROR(VLOOKUP(Táblázat3[[#This Row],[Container név]],Táblázat1[[Container név]:[Port Base]],3,FALSE),0)</f>
        <v>20000</v>
      </c>
      <c r="M7">
        <f>COUNTIF($L$2:Táblázat3[[#This Row],[Host port base]],Táblázat3[[#This Row],[Host port base]])</f>
        <v>3</v>
      </c>
      <c r="N7" s="4">
        <f>Táblázat3[[#This Row],[Host port base]]+Táblázat3[[#This Row],[Unique-ifier]]</f>
        <v>20003</v>
      </c>
      <c r="O7">
        <v>443</v>
      </c>
      <c r="P7" t="s">
        <v>45</v>
      </c>
    </row>
    <row r="8" spans="1:16" x14ac:dyDescent="0.25">
      <c r="A8" t="s">
        <v>14</v>
      </c>
      <c r="B8" t="s">
        <v>24</v>
      </c>
      <c r="C8">
        <v>34</v>
      </c>
      <c r="D8" s="4">
        <f>Táblázat1[[#This Row],[Port key]]*1000</f>
        <v>34000</v>
      </c>
      <c r="E8" t="s">
        <v>11</v>
      </c>
      <c r="F8" t="s">
        <v>27</v>
      </c>
      <c r="G8" t="s">
        <v>31</v>
      </c>
      <c r="H8" t="s">
        <v>38</v>
      </c>
      <c r="I8" t="str">
        <f>_xlfn.CONCAT(Táblázat1[[#This Row],[Base]],"/",Táblázat1[[#This Row],[Könyvtár]])</f>
        <v>/home/xoyowiz/MyBlackBox/Docker/Jellyfin</v>
      </c>
      <c r="N8" s="4"/>
    </row>
    <row r="9" spans="1:16" x14ac:dyDescent="0.25">
      <c r="A9" t="s">
        <v>14</v>
      </c>
      <c r="B9" t="s">
        <v>23</v>
      </c>
      <c r="C9">
        <v>35</v>
      </c>
      <c r="D9" s="4">
        <f>Táblázat1[[#This Row],[Port key]]*1000</f>
        <v>35000</v>
      </c>
      <c r="E9" t="s">
        <v>10</v>
      </c>
      <c r="F9" t="s">
        <v>27</v>
      </c>
      <c r="G9" t="s">
        <v>31</v>
      </c>
      <c r="H9" t="s">
        <v>40</v>
      </c>
      <c r="I9" t="str">
        <f>_xlfn.CONCAT(Táblázat1[[#This Row],[Base]],"/",Táblázat1[[#This Row],[Könyvtár]])</f>
        <v>/home/xoyowiz/MyBlackBox/Docker/FileBrowser</v>
      </c>
      <c r="K9" t="s">
        <v>18</v>
      </c>
      <c r="L9">
        <f>IFERROR(VLOOKUP(Táblázat3[[#This Row],[Container név]],Táblázat1[[Container név]:[Port Base]],3,FALSE),0)</f>
        <v>21000</v>
      </c>
      <c r="M9">
        <f>COUNTIF($L$2:Táblázat3[[#This Row],[Host port base]],Táblázat3[[#This Row],[Host port base]])</f>
        <v>1</v>
      </c>
      <c r="N9" s="4">
        <f>Táblázat3[[#This Row],[Host port base]]+Táblázat3[[#This Row],[Unique-ifier]]</f>
        <v>21001</v>
      </c>
      <c r="O9">
        <v>8000</v>
      </c>
      <c r="P9" t="s">
        <v>45</v>
      </c>
    </row>
    <row r="10" spans="1:16" x14ac:dyDescent="0.25">
      <c r="A10" t="s">
        <v>14</v>
      </c>
      <c r="B10" t="s">
        <v>25</v>
      </c>
      <c r="C10">
        <v>36</v>
      </c>
      <c r="D10" s="4">
        <f>Táblázat1[[#This Row],[Port key]]*1000</f>
        <v>36000</v>
      </c>
      <c r="E10" t="s">
        <v>13</v>
      </c>
      <c r="F10" t="s">
        <v>27</v>
      </c>
      <c r="G10" t="s">
        <v>31</v>
      </c>
      <c r="H10" t="s">
        <v>39</v>
      </c>
      <c r="I10" t="str">
        <f>_xlfn.CONCAT(Táblázat1[[#This Row],[Base]],"/",Táblázat1[[#This Row],[Könyvtár]])</f>
        <v>/home/xoyowiz/MyBlackBox/Docker/PrivateBin</v>
      </c>
      <c r="K10" t="s">
        <v>18</v>
      </c>
      <c r="L10">
        <f>IFERROR(VLOOKUP(Táblázat3[[#This Row],[Container név]],Táblázat1[[Container név]:[Port Base]],3,FALSE),0)</f>
        <v>21000</v>
      </c>
      <c r="M10">
        <f>COUNTIF($L$2:Táblázat3[[#This Row],[Host port base]],Táblázat3[[#This Row],[Host port base]])</f>
        <v>2</v>
      </c>
      <c r="N10" s="4">
        <f>Táblázat3[[#This Row],[Host port base]]+Táblázat3[[#This Row],[Unique-ifier]]</f>
        <v>21002</v>
      </c>
      <c r="O10">
        <v>9443</v>
      </c>
      <c r="P10" t="s">
        <v>45</v>
      </c>
    </row>
    <row r="11" spans="1:16" x14ac:dyDescent="0.25">
      <c r="A11" t="s">
        <v>14</v>
      </c>
      <c r="B11" t="s">
        <v>17</v>
      </c>
      <c r="C11">
        <v>37</v>
      </c>
      <c r="D11" s="4">
        <f>Táblázat1[[#This Row],[Port key]]*1000</f>
        <v>37000</v>
      </c>
      <c r="E11" t="s">
        <v>12</v>
      </c>
      <c r="F11" t="s">
        <v>27</v>
      </c>
      <c r="G11" t="s">
        <v>31</v>
      </c>
      <c r="H11" t="s">
        <v>41</v>
      </c>
      <c r="I11" t="str">
        <f>_xlfn.CONCAT(Táblázat1[[#This Row],[Base]],"/",Táblázat1[[#This Row],[Könyvtár]])</f>
        <v>/home/xoyowiz/MyBlackBox/Docker/qBittorrent</v>
      </c>
      <c r="N11" s="5"/>
    </row>
    <row r="12" spans="1:16" x14ac:dyDescent="0.25">
      <c r="A12" t="s">
        <v>15</v>
      </c>
      <c r="B12" t="s">
        <v>47</v>
      </c>
      <c r="D12" s="4">
        <f>Táblázat1[[#This Row],[Port key]]*1000</f>
        <v>0</v>
      </c>
      <c r="E12" t="s">
        <v>48</v>
      </c>
      <c r="F12" t="s">
        <v>27</v>
      </c>
      <c r="G12" s="3" t="s">
        <v>49</v>
      </c>
      <c r="H12" s="3" t="s">
        <v>49</v>
      </c>
      <c r="I12" s="3" t="s">
        <v>49</v>
      </c>
      <c r="K12" t="s">
        <v>25</v>
      </c>
      <c r="L12">
        <f>IFERROR(VLOOKUP(Táblázat3[[#This Row],[Container név]],Táblázat1[[Container név]:[Port Base]],3,FALSE),0)</f>
        <v>36000</v>
      </c>
      <c r="M12">
        <f>COUNTIF($L$2:Táblázat3[[#This Row],[Host port base]],Táblázat3[[#This Row],[Host port base]])</f>
        <v>1</v>
      </c>
      <c r="N12" s="4">
        <f>Táblázat3[[#This Row],[Host port base]]+Táblázat3[[#This Row],[Unique-ifier]]</f>
        <v>36001</v>
      </c>
      <c r="O12">
        <v>8080</v>
      </c>
      <c r="P12" t="s">
        <v>54</v>
      </c>
    </row>
    <row r="13" spans="1:16" x14ac:dyDescent="0.25">
      <c r="N13" s="4"/>
    </row>
    <row r="14" spans="1:16" x14ac:dyDescent="0.25">
      <c r="K14" t="s">
        <v>17</v>
      </c>
      <c r="L14">
        <f>IFERROR(VLOOKUP(Táblázat3[[#This Row],[Container név]],Táblázat1[[Container név]:[Port Base]],3,FALSE),0)</f>
        <v>37000</v>
      </c>
      <c r="M14">
        <f>COUNTIF($L$2:Táblázat3[[#This Row],[Host port base]],Táblázat3[[#This Row],[Host port base]])</f>
        <v>1</v>
      </c>
      <c r="N14" s="4">
        <f>Táblázat3[[#This Row],[Host port base]]+Táblázat3[[#This Row],[Unique-ifier]]</f>
        <v>37001</v>
      </c>
    </row>
    <row r="15" spans="1:16" x14ac:dyDescent="0.25">
      <c r="K15" t="s">
        <v>22</v>
      </c>
      <c r="L15">
        <f>IFERROR(VLOOKUP(Táblázat3[[#This Row],[Container név]],Táblázat1[[Container név]:[Port Base]],3,FALSE),0)</f>
        <v>33000</v>
      </c>
      <c r="M15">
        <f>COUNTIF($L$2:Táblázat3[[#This Row],[Host port base]],Táblázat3[[#This Row],[Host port base]])</f>
        <v>1</v>
      </c>
      <c r="N15" s="4">
        <f>Táblázat3[[#This Row],[Host port base]]+Táblázat3[[#This Row],[Unique-ifier]]</f>
        <v>33001</v>
      </c>
    </row>
    <row r="16" spans="1:16" x14ac:dyDescent="0.25">
      <c r="N16" s="4"/>
    </row>
    <row r="17" spans="11:14" x14ac:dyDescent="0.25">
      <c r="N17" s="4"/>
    </row>
    <row r="18" spans="11:14" x14ac:dyDescent="0.25">
      <c r="N18" s="4"/>
    </row>
    <row r="19" spans="11:14" x14ac:dyDescent="0.25">
      <c r="N19" s="4"/>
    </row>
    <row r="20" spans="11:14" x14ac:dyDescent="0.25">
      <c r="N20" s="4"/>
    </row>
    <row r="21" spans="11:14" x14ac:dyDescent="0.25">
      <c r="K21" t="s">
        <v>23</v>
      </c>
      <c r="L21">
        <f>IFERROR(VLOOKUP(Táblázat3[[#This Row],[Container név]],Táblázat1[[Container név]:[Port Base]],3,FALSE),0)</f>
        <v>35000</v>
      </c>
      <c r="M21">
        <f>COUNTIF($L$2:Táblázat3[[#This Row],[Host port base]],Táblázat3[[#This Row],[Host port base]])</f>
        <v>1</v>
      </c>
      <c r="N21" s="4">
        <f>Táblázat3[[#This Row],[Host port base]]+Táblázat3[[#This Row],[Unique-ifier]]</f>
        <v>35001</v>
      </c>
    </row>
    <row r="22" spans="11:14" x14ac:dyDescent="0.25">
      <c r="K22" t="s">
        <v>21</v>
      </c>
      <c r="L22">
        <f>IFERROR(VLOOKUP(Táblázat3[[#This Row],[Container név]],Táblázat1[[Container név]:[Port Base]],3,FALSE),0)</f>
        <v>31000</v>
      </c>
      <c r="M22">
        <f>COUNTIF($L$2:Táblázat3[[#This Row],[Host port base]],Táblázat3[[#This Row],[Host port base]])</f>
        <v>1</v>
      </c>
      <c r="N22" s="4">
        <f>Táblázat3[[#This Row],[Host port base]]+Táblázat3[[#This Row],[Unique-ifier]]</f>
        <v>31001</v>
      </c>
    </row>
    <row r="23" spans="11:14" x14ac:dyDescent="0.25">
      <c r="K23" t="s">
        <v>24</v>
      </c>
      <c r="L23">
        <f>IFERROR(VLOOKUP(Táblázat3[[#This Row],[Container név]],Táblázat1[[Container név]:[Port Base]],3,FALSE),0)</f>
        <v>34000</v>
      </c>
      <c r="M23">
        <f>COUNTIF($L$2:Táblázat3[[#This Row],[Host port base]],Táblázat3[[#This Row],[Host port base]])</f>
        <v>1</v>
      </c>
      <c r="N23" s="4">
        <f>Táblázat3[[#This Row],[Host port base]]+Táblázat3[[#This Row],[Unique-ifier]]</f>
        <v>34001</v>
      </c>
    </row>
    <row r="24" spans="11:14" x14ac:dyDescent="0.25">
      <c r="K24" t="s">
        <v>20</v>
      </c>
      <c r="L24">
        <f>IFERROR(VLOOKUP(Táblázat3[[#This Row],[Container név]],Táblázat1[[Container név]:[Port Base]],3,FALSE),0)</f>
        <v>32000</v>
      </c>
      <c r="M24">
        <f>COUNTIF($L$2:Táblázat3[[#This Row],[Host port base]],Táblázat3[[#This Row],[Host port base]])</f>
        <v>1</v>
      </c>
      <c r="N24" s="4">
        <f>Táblázat3[[#This Row],[Host port base]]+Táblázat3[[#This Row],[Unique-ifier]]</f>
        <v>32001</v>
      </c>
    </row>
    <row r="25" spans="11:14" x14ac:dyDescent="0.25">
      <c r="N25" s="4"/>
    </row>
    <row r="26" spans="11:14" x14ac:dyDescent="0.25">
      <c r="N26" s="4"/>
    </row>
    <row r="27" spans="11:14" x14ac:dyDescent="0.25">
      <c r="N27" s="4"/>
    </row>
  </sheetData>
  <phoneticPr fontId="3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251030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DannyBoy</dc:creator>
  <cp:lastModifiedBy>DannyBoy</cp:lastModifiedBy>
  <dcterms:created xsi:type="dcterms:W3CDTF">2025-10-30T10:57:09Z</dcterms:created>
  <dcterms:modified xsi:type="dcterms:W3CDTF">2025-11-05T13:36:15Z</dcterms:modified>
</cp:coreProperties>
</file>